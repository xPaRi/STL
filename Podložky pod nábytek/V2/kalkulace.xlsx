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TL\Podložky pod nábytek\V2\"/>
    </mc:Choice>
  </mc:AlternateContent>
  <xr:revisionPtr revIDLastSave="0" documentId="13_ncr:1_{7BE10FD1-7D90-4829-9CE9-C48E8C364323}" xr6:coauthVersionLast="47" xr6:coauthVersionMax="47" xr10:uidLastSave="{00000000-0000-0000-0000-000000000000}"/>
  <bookViews>
    <workbookView xWindow="38445" yWindow="3780" windowWidth="16410" windowHeight="15345" xr2:uid="{4FCBA885-082A-4F45-BFB2-AC0CB0C77F2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H4" i="1" s="1"/>
  <c r="C4" i="1"/>
  <c r="E4" i="1" s="1"/>
  <c r="E2" i="1"/>
  <c r="G2" i="1"/>
  <c r="H2" i="1" s="1"/>
  <c r="I2" i="1" s="1"/>
  <c r="C3" i="1"/>
  <c r="E3" i="1" s="1"/>
  <c r="G3" i="1"/>
  <c r="H3" i="1"/>
  <c r="I3" i="1" s="1"/>
  <c r="H5" i="1"/>
  <c r="I5" i="1" s="1"/>
  <c r="H6" i="1"/>
  <c r="I6" i="1" s="1"/>
  <c r="E5" i="1"/>
  <c r="E6" i="1"/>
  <c r="D7" i="1"/>
  <c r="I7" i="1" l="1"/>
  <c r="E7" i="1"/>
  <c r="H7" i="1"/>
</calcChain>
</file>

<file path=xl/sharedStrings.xml><?xml version="1.0" encoding="utf-8"?>
<sst xmlns="http://schemas.openxmlformats.org/spreadsheetml/2006/main" count="13" uniqueCount="13">
  <si>
    <t>kusy</t>
  </si>
  <si>
    <t>díl</t>
  </si>
  <si>
    <t>V10</t>
  </si>
  <si>
    <t>V13</t>
  </si>
  <si>
    <t>hmotnost</t>
  </si>
  <si>
    <t>V16</t>
  </si>
  <si>
    <t>V18</t>
  </si>
  <si>
    <t>V16.5</t>
  </si>
  <si>
    <t>hmotnost celková</t>
  </si>
  <si>
    <t>Cena ks</t>
  </si>
  <si>
    <t>Cena celk</t>
  </si>
  <si>
    <t>Kč</t>
  </si>
  <si>
    <t>Čas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</si>
</sst>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9DAB-0091-4CB0-BF10-9A4A373B9E50}">
  <dimension ref="A1:K10"/>
  <sheetViews>
    <sheetView tabSelected="1" workbookViewId="0">
      <selection activeCell="B1" sqref="B1:B1048576"/>
    </sheetView>
  </sheetViews>
  <sheetFormatPr defaultRowHeight="15" x14ac:dyDescent="0.25"/>
  <cols>
    <col min="3" max="3" width="12.5703125" customWidth="1"/>
    <col min="8" max="8" width="11.5703125" customWidth="1"/>
  </cols>
  <sheetData>
    <row r="1" spans="1:11" x14ac:dyDescent="0.25">
      <c r="A1" s="1" t="s">
        <v>1</v>
      </c>
      <c r="B1" s="1"/>
      <c r="C1" s="1" t="s">
        <v>4</v>
      </c>
      <c r="D1" s="1" t="s">
        <v>0</v>
      </c>
      <c r="E1" s="1" t="s">
        <v>8</v>
      </c>
      <c r="G1" s="1" t="s">
        <v>9</v>
      </c>
      <c r="H1" s="1" t="s">
        <v>10</v>
      </c>
      <c r="I1" s="1" t="s">
        <v>11</v>
      </c>
      <c r="K1" s="1" t="s">
        <v>12</v>
      </c>
    </row>
    <row r="2" spans="1:11" x14ac:dyDescent="0.25">
      <c r="A2" t="s">
        <v>2</v>
      </c>
      <c r="C2" s="2">
        <v>40.64</v>
      </c>
      <c r="D2" s="2">
        <v>34</v>
      </c>
      <c r="E2" s="2">
        <f>C2*D2</f>
        <v>1381.76</v>
      </c>
      <c r="F2" s="2"/>
      <c r="G2" s="2">
        <f>2.94/4</f>
        <v>0.73499999999999999</v>
      </c>
      <c r="H2" s="2">
        <f>D2*G2</f>
        <v>24.99</v>
      </c>
      <c r="I2">
        <f>$C$10*H2</f>
        <v>603.50849999999991</v>
      </c>
      <c r="K2">
        <v>53</v>
      </c>
    </row>
    <row r="3" spans="1:11" x14ac:dyDescent="0.25">
      <c r="A3" t="s">
        <v>3</v>
      </c>
      <c r="C3" s="2">
        <f>95.49/3</f>
        <v>31.83</v>
      </c>
      <c r="D3" s="2">
        <v>3</v>
      </c>
      <c r="E3" s="2">
        <f t="shared" ref="E3:E6" si="0">C3*D3</f>
        <v>95.49</v>
      </c>
      <c r="F3" s="2"/>
      <c r="G3" s="2">
        <f>2.66/3</f>
        <v>0.88666666666666671</v>
      </c>
      <c r="H3" s="2">
        <f t="shared" ref="H3:H6" si="1">D3*G3</f>
        <v>2.66</v>
      </c>
      <c r="I3">
        <f t="shared" ref="I3:I6" si="2">$C$10*H3</f>
        <v>64.239000000000004</v>
      </c>
    </row>
    <row r="4" spans="1:11" x14ac:dyDescent="0.25">
      <c r="A4" t="s">
        <v>5</v>
      </c>
      <c r="C4" s="2">
        <f>111.76/3</f>
        <v>37.253333333333337</v>
      </c>
      <c r="D4" s="2">
        <v>3</v>
      </c>
      <c r="E4" s="2">
        <f t="shared" si="0"/>
        <v>111.76000000000002</v>
      </c>
      <c r="F4" s="2"/>
      <c r="G4" s="2">
        <f>3.11/3</f>
        <v>1.0366666666666666</v>
      </c>
      <c r="H4" s="2">
        <f t="shared" si="1"/>
        <v>3.11</v>
      </c>
      <c r="I4">
        <f t="shared" si="2"/>
        <v>75.106499999999997</v>
      </c>
    </row>
    <row r="5" spans="1:11" x14ac:dyDescent="0.25">
      <c r="A5" t="s">
        <v>7</v>
      </c>
      <c r="C5" s="2">
        <v>38.299999999999997</v>
      </c>
      <c r="D5" s="2">
        <v>1</v>
      </c>
      <c r="E5" s="2">
        <f t="shared" si="0"/>
        <v>38.299999999999997</v>
      </c>
      <c r="F5" s="2"/>
      <c r="G5" s="2">
        <v>1.07</v>
      </c>
      <c r="H5" s="2">
        <f t="shared" si="1"/>
        <v>1.07</v>
      </c>
      <c r="I5">
        <f t="shared" si="2"/>
        <v>25.840499999999999</v>
      </c>
    </row>
    <row r="6" spans="1:11" x14ac:dyDescent="0.25">
      <c r="A6" t="s">
        <v>6</v>
      </c>
      <c r="C6" s="2">
        <v>40.880000000000003</v>
      </c>
      <c r="D6" s="2">
        <v>1</v>
      </c>
      <c r="E6" s="2">
        <f t="shared" si="0"/>
        <v>40.880000000000003</v>
      </c>
      <c r="F6" s="2"/>
      <c r="G6" s="2">
        <v>1.1399999999999999</v>
      </c>
      <c r="H6" s="2">
        <f t="shared" si="1"/>
        <v>1.1399999999999999</v>
      </c>
      <c r="I6">
        <f t="shared" si="2"/>
        <v>27.530999999999995</v>
      </c>
    </row>
    <row r="7" spans="1:11" x14ac:dyDescent="0.25">
      <c r="C7" s="2"/>
      <c r="D7" s="3">
        <f>SUM(D2:D6)</f>
        <v>42</v>
      </c>
      <c r="E7" s="3">
        <f>SUM(E2:E6)</f>
        <v>1668.19</v>
      </c>
      <c r="F7" s="2"/>
      <c r="G7" s="2"/>
      <c r="H7" s="3">
        <f>SUM(H2:H6)</f>
        <v>32.97</v>
      </c>
      <c r="I7">
        <f>SUM(I2:I6)</f>
        <v>796.2254999999999</v>
      </c>
    </row>
    <row r="10" spans="1:11" x14ac:dyDescent="0.25">
      <c r="A10" s="4">
        <v>1</v>
      </c>
      <c r="B10" s="4"/>
      <c r="C10">
        <v>24.15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Riedl</dc:creator>
  <cp:lastModifiedBy>Pavel Riedl</cp:lastModifiedBy>
  <dcterms:created xsi:type="dcterms:W3CDTF">2025-11-17T19:09:22Z</dcterms:created>
  <dcterms:modified xsi:type="dcterms:W3CDTF">2025-11-18T11:15:37Z</dcterms:modified>
</cp:coreProperties>
</file>