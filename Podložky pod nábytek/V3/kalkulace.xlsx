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TL\Podložky pod nábytek\V3\"/>
    </mc:Choice>
  </mc:AlternateContent>
  <xr:revisionPtr revIDLastSave="0" documentId="13_ncr:1_{68E0AD1B-6C9C-4C41-9654-A00090010DD0}" xr6:coauthVersionLast="47" xr6:coauthVersionMax="47" xr10:uidLastSave="{00000000-0000-0000-0000-000000000000}"/>
  <bookViews>
    <workbookView xWindow="-120" yWindow="-120" windowWidth="38640" windowHeight="21120" xr2:uid="{4FCBA885-082A-4F45-BFB2-AC0CB0C77F2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G5" i="1" s="1"/>
  <c r="B5" i="1"/>
  <c r="F5" i="1" s="1"/>
  <c r="B4" i="1"/>
  <c r="C4" i="1"/>
  <c r="F4" i="1"/>
  <c r="E8" i="1"/>
  <c r="B11" i="1"/>
  <c r="B10" i="1"/>
  <c r="G7" i="1"/>
  <c r="G6" i="1"/>
  <c r="G4" i="1"/>
  <c r="G3" i="1"/>
  <c r="F7" i="1"/>
  <c r="F6" i="1"/>
  <c r="F3" i="1"/>
  <c r="D7" i="1"/>
  <c r="H7" i="1" s="1"/>
  <c r="D6" i="1"/>
  <c r="H6" i="1" s="1"/>
  <c r="D5" i="1"/>
  <c r="H5" i="1" s="1"/>
  <c r="D3" i="1"/>
  <c r="H3" i="1" s="1"/>
  <c r="C3" i="1"/>
  <c r="B3" i="1"/>
  <c r="G8" i="1" l="1"/>
  <c r="F8" i="1"/>
  <c r="D4" i="1"/>
  <c r="H4" i="1" s="1"/>
  <c r="H8" i="1" s="1"/>
</calcChain>
</file>

<file path=xl/sharedStrings.xml><?xml version="1.0" encoding="utf-8"?>
<sst xmlns="http://schemas.openxmlformats.org/spreadsheetml/2006/main" count="20" uniqueCount="15">
  <si>
    <t>kusy</t>
  </si>
  <si>
    <t>díl</t>
  </si>
  <si>
    <t>hmotnost</t>
  </si>
  <si>
    <t>H13</t>
  </si>
  <si>
    <t>H16</t>
  </si>
  <si>
    <t>H19</t>
  </si>
  <si>
    <t>H19,5</t>
  </si>
  <si>
    <t>H21</t>
  </si>
  <si>
    <t>čas</t>
  </si>
  <si>
    <t>Jednotková data</t>
  </si>
  <si>
    <t>Dávková data</t>
  </si>
  <si>
    <t>cena</t>
  </si>
  <si>
    <t>Kč/1g</t>
  </si>
  <si>
    <t>Netto</t>
  </si>
  <si>
    <t>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</si>
</sst>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0" borderId="2" xfId="0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/>
    <xf numFmtId="2" fontId="0" fillId="0" borderId="5" xfId="0" applyNumberFormat="1" applyBorder="1"/>
    <xf numFmtId="0" fontId="0" fillId="0" borderId="6" xfId="0" applyBorder="1"/>
    <xf numFmtId="0" fontId="0" fillId="0" borderId="3" xfId="0" applyBorder="1"/>
    <xf numFmtId="2" fontId="0" fillId="0" borderId="7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4" xfId="0" applyBorder="1"/>
    <xf numFmtId="2" fontId="0" fillId="0" borderId="8" xfId="0" applyNumberFormat="1" applyBorder="1"/>
    <xf numFmtId="0" fontId="2" fillId="2" borderId="0" xfId="1"/>
    <xf numFmtId="2" fontId="3" fillId="0" borderId="1" xfId="2" applyNumberFormat="1"/>
  </cellXfs>
  <cellStyles count="3">
    <cellStyle name="Celkem" xfId="2" builtinId="25"/>
    <cellStyle name="Normální" xfId="0" builtinId="0"/>
    <cellStyle name="Správně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9DAB-0091-4CB0-BF10-9A4A373B9E50}">
  <dimension ref="A1:L11"/>
  <sheetViews>
    <sheetView tabSelected="1" workbookViewId="0">
      <selection activeCell="L19" sqref="L19"/>
    </sheetView>
  </sheetViews>
  <sheetFormatPr defaultRowHeight="15" x14ac:dyDescent="0.25"/>
  <cols>
    <col min="2" max="3" width="12.5703125" customWidth="1"/>
    <col min="6" max="6" width="13.42578125" customWidth="1"/>
    <col min="7" max="7" width="11.5703125" customWidth="1"/>
    <col min="9" max="9" width="11.5703125" customWidth="1"/>
  </cols>
  <sheetData>
    <row r="1" spans="1:12" x14ac:dyDescent="0.25">
      <c r="A1" s="10"/>
      <c r="B1" t="s">
        <v>9</v>
      </c>
      <c r="E1" s="4"/>
      <c r="F1" t="s">
        <v>10</v>
      </c>
      <c r="H1" s="10"/>
    </row>
    <row r="2" spans="1:12" x14ac:dyDescent="0.25">
      <c r="A2" s="7" t="s">
        <v>1</v>
      </c>
      <c r="B2" s="5" t="s">
        <v>2</v>
      </c>
      <c r="C2" s="5" t="s">
        <v>8</v>
      </c>
      <c r="D2" s="5" t="s">
        <v>11</v>
      </c>
      <c r="E2" s="6" t="s">
        <v>0</v>
      </c>
      <c r="F2" s="5" t="s">
        <v>2</v>
      </c>
      <c r="G2" s="5" t="s">
        <v>8</v>
      </c>
      <c r="H2" s="7" t="s">
        <v>11</v>
      </c>
      <c r="I2" s="1"/>
      <c r="J2" s="1"/>
      <c r="L2" s="1"/>
    </row>
    <row r="3" spans="1:12" x14ac:dyDescent="0.25">
      <c r="A3" s="10" t="s">
        <v>3</v>
      </c>
      <c r="B3" s="2">
        <f>186.76/4</f>
        <v>46.69</v>
      </c>
      <c r="C3" s="2">
        <f>245/4</f>
        <v>61.25</v>
      </c>
      <c r="D3" s="2">
        <f>$B$9*B3</f>
        <v>20.21677</v>
      </c>
      <c r="E3" s="4">
        <v>34</v>
      </c>
      <c r="F3" s="2">
        <f>B3*E3</f>
        <v>1587.46</v>
      </c>
      <c r="G3" s="2">
        <f>C3*E3</f>
        <v>2082.5</v>
      </c>
      <c r="H3" s="11">
        <f>D3*E3</f>
        <v>687.37018</v>
      </c>
      <c r="I3" s="2"/>
    </row>
    <row r="4" spans="1:12" x14ac:dyDescent="0.25">
      <c r="A4" s="10" t="s">
        <v>4</v>
      </c>
      <c r="B4" s="2">
        <f>166.64/3</f>
        <v>55.54666666666666</v>
      </c>
      <c r="C4" s="2">
        <f>217/3</f>
        <v>72.333333333333329</v>
      </c>
      <c r="D4" s="2">
        <f>$B$9*B4</f>
        <v>24.051706666666664</v>
      </c>
      <c r="E4" s="4">
        <v>3</v>
      </c>
      <c r="F4" s="2">
        <f>B4*E4</f>
        <v>166.64</v>
      </c>
      <c r="G4" s="2">
        <f>C4*E4</f>
        <v>217</v>
      </c>
      <c r="H4" s="12">
        <f>D4*E4</f>
        <v>72.155119999999997</v>
      </c>
      <c r="I4" s="2"/>
    </row>
    <row r="5" spans="1:12" x14ac:dyDescent="0.25">
      <c r="A5" s="10" t="s">
        <v>5</v>
      </c>
      <c r="B5" s="2">
        <f>195.08/3</f>
        <v>65.026666666666671</v>
      </c>
      <c r="C5" s="2">
        <f>253/3</f>
        <v>84.333333333333329</v>
      </c>
      <c r="D5" s="2">
        <f>$B$9*B5</f>
        <v>28.156546666666667</v>
      </c>
      <c r="E5" s="4">
        <v>3</v>
      </c>
      <c r="F5" s="2">
        <f>B5*E5</f>
        <v>195.08</v>
      </c>
      <c r="G5" s="2">
        <f>C5*E5</f>
        <v>253</v>
      </c>
      <c r="H5" s="12">
        <f>D5*E5</f>
        <v>84.469639999999998</v>
      </c>
      <c r="I5" s="2"/>
    </row>
    <row r="6" spans="1:12" x14ac:dyDescent="0.25">
      <c r="A6" s="10" t="s">
        <v>6</v>
      </c>
      <c r="B6" s="2">
        <v>66.19</v>
      </c>
      <c r="C6" s="2">
        <v>86</v>
      </c>
      <c r="D6" s="2">
        <f>$B$9*B6</f>
        <v>28.660269999999997</v>
      </c>
      <c r="E6" s="4">
        <v>1</v>
      </c>
      <c r="F6" s="2">
        <f>B6*E6</f>
        <v>66.19</v>
      </c>
      <c r="G6" s="2">
        <f>C6*E6</f>
        <v>86</v>
      </c>
      <c r="H6" s="12">
        <f>D6*E6</f>
        <v>28.660269999999997</v>
      </c>
      <c r="I6" s="2"/>
    </row>
    <row r="7" spans="1:12" x14ac:dyDescent="0.25">
      <c r="A7" s="14" t="s">
        <v>7</v>
      </c>
      <c r="B7" s="8">
        <v>70.87</v>
      </c>
      <c r="C7" s="8">
        <v>91</v>
      </c>
      <c r="D7" s="13">
        <f>$B$9*B7</f>
        <v>30.686710000000001</v>
      </c>
      <c r="E7" s="9">
        <v>1</v>
      </c>
      <c r="F7" s="15">
        <f>B7*E7</f>
        <v>70.87</v>
      </c>
      <c r="G7" s="8">
        <f>C7*E7</f>
        <v>91</v>
      </c>
      <c r="H7" s="13">
        <f>D7*E7</f>
        <v>30.686710000000001</v>
      </c>
      <c r="I7" s="2"/>
    </row>
    <row r="8" spans="1:12" ht="15.75" thickBot="1" x14ac:dyDescent="0.3">
      <c r="C8" s="2"/>
      <c r="D8" s="3"/>
      <c r="E8" s="2">
        <f>SUM(E3:E7)</f>
        <v>42</v>
      </c>
      <c r="F8" s="2">
        <f>SUM(F3:F7)</f>
        <v>2086.2399999999998</v>
      </c>
      <c r="G8" s="2">
        <f>SUM(G3:G7)</f>
        <v>2729.5</v>
      </c>
      <c r="H8" s="17">
        <f>SUM(H3:H7)</f>
        <v>903.34191999999996</v>
      </c>
      <c r="I8" s="3"/>
    </row>
    <row r="9" spans="1:12" ht="15.75" thickTop="1" x14ac:dyDescent="0.25">
      <c r="A9" t="s">
        <v>12</v>
      </c>
      <c r="B9" s="16">
        <v>0.433</v>
      </c>
    </row>
    <row r="10" spans="1:12" x14ac:dyDescent="0.25">
      <c r="A10" t="s">
        <v>12</v>
      </c>
      <c r="B10">
        <f>598/2/1000</f>
        <v>0.29899999999999999</v>
      </c>
      <c r="C10" t="s">
        <v>13</v>
      </c>
    </row>
    <row r="11" spans="1:12" x14ac:dyDescent="0.25">
      <c r="A11" t="s">
        <v>12</v>
      </c>
      <c r="B11">
        <f>866/2/1000</f>
        <v>0.433</v>
      </c>
      <c r="C11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Riedl</dc:creator>
  <cp:lastModifiedBy>Pavel Riedl</cp:lastModifiedBy>
  <dcterms:created xsi:type="dcterms:W3CDTF">2025-11-17T19:09:22Z</dcterms:created>
  <dcterms:modified xsi:type="dcterms:W3CDTF">2025-11-22T15:19:23Z</dcterms:modified>
</cp:coreProperties>
</file>