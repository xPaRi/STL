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TL\Podložky pod nábytek\"/>
    </mc:Choice>
  </mc:AlternateContent>
  <xr:revisionPtr revIDLastSave="0" documentId="13_ncr:1_{DAE98D74-D402-4EDD-BEFF-D9E9C08F2874}" xr6:coauthVersionLast="47" xr6:coauthVersionMax="47" xr10:uidLastSave="{00000000-0000-0000-0000-000000000000}"/>
  <bookViews>
    <workbookView xWindow="18015" yWindow="3045" windowWidth="16410" windowHeight="15345" xr2:uid="{4FCBA885-082A-4F45-BFB2-AC0CB0C77F2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3" i="1"/>
  <c r="H4" i="1"/>
  <c r="H5" i="1"/>
  <c r="H6" i="1"/>
  <c r="H2" i="1"/>
  <c r="F4" i="1"/>
  <c r="G4" i="1" s="1"/>
  <c r="B4" i="1"/>
  <c r="D4" i="1" s="1"/>
  <c r="B2" i="1"/>
  <c r="D2" i="1" s="1"/>
  <c r="F2" i="1"/>
  <c r="B3" i="1"/>
  <c r="D3" i="1" s="1"/>
  <c r="F3" i="1"/>
  <c r="G3" i="1"/>
  <c r="G5" i="1"/>
  <c r="G6" i="1"/>
  <c r="G2" i="1"/>
  <c r="D5" i="1"/>
  <c r="D6" i="1"/>
  <c r="C7" i="1"/>
  <c r="D7" i="1" l="1"/>
  <c r="G7" i="1"/>
</calcChain>
</file>

<file path=xl/sharedStrings.xml><?xml version="1.0" encoding="utf-8"?>
<sst xmlns="http://schemas.openxmlformats.org/spreadsheetml/2006/main" count="12" uniqueCount="12">
  <si>
    <t>kusy</t>
  </si>
  <si>
    <t>díl</t>
  </si>
  <si>
    <t>V10</t>
  </si>
  <si>
    <t>V13</t>
  </si>
  <si>
    <t>hmotnost</t>
  </si>
  <si>
    <t>V16</t>
  </si>
  <si>
    <t>V18</t>
  </si>
  <si>
    <t>V16.5</t>
  </si>
  <si>
    <t>hmotnost celková</t>
  </si>
  <si>
    <t>Cena ks</t>
  </si>
  <si>
    <t>Cena celk</t>
  </si>
  <si>
    <t>Kč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</si>
</sst>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[$€-1];[Red]\-#,##0\ [$€-1]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9DAB-0091-4CB0-BF10-9A4A373B9E50}">
  <dimension ref="A1:H10"/>
  <sheetViews>
    <sheetView tabSelected="1" workbookViewId="0">
      <selection activeCell="H8" sqref="H8"/>
    </sheetView>
  </sheetViews>
  <sheetFormatPr defaultRowHeight="15" x14ac:dyDescent="0.25"/>
  <cols>
    <col min="2" max="2" width="12.5703125" customWidth="1"/>
    <col min="7" max="7" width="11.5703125" customWidth="1"/>
  </cols>
  <sheetData>
    <row r="1" spans="1:8" x14ac:dyDescent="0.25">
      <c r="A1" s="1" t="s">
        <v>1</v>
      </c>
      <c r="B1" s="1" t="s">
        <v>4</v>
      </c>
      <c r="C1" s="1" t="s">
        <v>0</v>
      </c>
      <c r="D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t="s">
        <v>2</v>
      </c>
      <c r="B2" s="2">
        <f>105.74/4</f>
        <v>26.434999999999999</v>
      </c>
      <c r="C2" s="2">
        <v>34</v>
      </c>
      <c r="D2" s="2">
        <f>B2*C2</f>
        <v>898.79</v>
      </c>
      <c r="E2" s="2"/>
      <c r="F2" s="2">
        <f>2.94/4</f>
        <v>0.73499999999999999</v>
      </c>
      <c r="G2" s="2">
        <f>C2*F2</f>
        <v>24.99</v>
      </c>
      <c r="H2">
        <f>$B$10*G2</f>
        <v>603.50849999999991</v>
      </c>
    </row>
    <row r="3" spans="1:8" x14ac:dyDescent="0.25">
      <c r="A3" t="s">
        <v>3</v>
      </c>
      <c r="B3" s="2">
        <f>95.49/3</f>
        <v>31.83</v>
      </c>
      <c r="C3" s="2">
        <v>3</v>
      </c>
      <c r="D3" s="2">
        <f t="shared" ref="D3:D6" si="0">B3*C3</f>
        <v>95.49</v>
      </c>
      <c r="E3" s="2"/>
      <c r="F3" s="2">
        <f>2.66/3</f>
        <v>0.88666666666666671</v>
      </c>
      <c r="G3" s="2">
        <f t="shared" ref="G3:G6" si="1">C3*F3</f>
        <v>2.66</v>
      </c>
      <c r="H3">
        <f t="shared" ref="H3:H6" si="2">$B$10*G3</f>
        <v>64.239000000000004</v>
      </c>
    </row>
    <row r="4" spans="1:8" x14ac:dyDescent="0.25">
      <c r="A4" t="s">
        <v>5</v>
      </c>
      <c r="B4" s="2">
        <f>111.76/3</f>
        <v>37.253333333333337</v>
      </c>
      <c r="C4" s="2">
        <v>3</v>
      </c>
      <c r="D4" s="2">
        <f t="shared" si="0"/>
        <v>111.76000000000002</v>
      </c>
      <c r="E4" s="2"/>
      <c r="F4" s="2">
        <f>3.11/3</f>
        <v>1.0366666666666666</v>
      </c>
      <c r="G4" s="2">
        <f t="shared" si="1"/>
        <v>3.11</v>
      </c>
      <c r="H4">
        <f t="shared" si="2"/>
        <v>75.106499999999997</v>
      </c>
    </row>
    <row r="5" spans="1:8" x14ac:dyDescent="0.25">
      <c r="A5" t="s">
        <v>7</v>
      </c>
      <c r="B5" s="2">
        <v>38.299999999999997</v>
      </c>
      <c r="C5" s="2">
        <v>1</v>
      </c>
      <c r="D5" s="2">
        <f t="shared" si="0"/>
        <v>38.299999999999997</v>
      </c>
      <c r="E5" s="2"/>
      <c r="F5" s="2">
        <v>1.07</v>
      </c>
      <c r="G5" s="2">
        <f t="shared" si="1"/>
        <v>1.07</v>
      </c>
      <c r="H5">
        <f t="shared" si="2"/>
        <v>25.840499999999999</v>
      </c>
    </row>
    <row r="6" spans="1:8" x14ac:dyDescent="0.25">
      <c r="A6" t="s">
        <v>6</v>
      </c>
      <c r="B6" s="2">
        <v>40.880000000000003</v>
      </c>
      <c r="C6" s="2">
        <v>1</v>
      </c>
      <c r="D6" s="2">
        <f t="shared" si="0"/>
        <v>40.880000000000003</v>
      </c>
      <c r="E6" s="2"/>
      <c r="F6" s="2">
        <v>1.1399999999999999</v>
      </c>
      <c r="G6" s="2">
        <f t="shared" si="1"/>
        <v>1.1399999999999999</v>
      </c>
      <c r="H6">
        <f t="shared" si="2"/>
        <v>27.530999999999995</v>
      </c>
    </row>
    <row r="7" spans="1:8" x14ac:dyDescent="0.25">
      <c r="B7" s="2"/>
      <c r="C7" s="3">
        <f>SUM(C2:C6)</f>
        <v>42</v>
      </c>
      <c r="D7" s="3">
        <f>SUM(D2:D6)</f>
        <v>1185.22</v>
      </c>
      <c r="E7" s="2"/>
      <c r="F7" s="2"/>
      <c r="G7" s="3">
        <f>SUM(G2:G6)</f>
        <v>32.97</v>
      </c>
      <c r="H7">
        <f>SUM(H2:H6)</f>
        <v>796.2254999999999</v>
      </c>
    </row>
    <row r="10" spans="1:8" x14ac:dyDescent="0.25">
      <c r="A10" s="4">
        <v>1</v>
      </c>
      <c r="B10">
        <v>24.15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Riedl</dc:creator>
  <cp:lastModifiedBy>Pavel Riedl</cp:lastModifiedBy>
  <dcterms:created xsi:type="dcterms:W3CDTF">2025-11-17T19:09:22Z</dcterms:created>
  <dcterms:modified xsi:type="dcterms:W3CDTF">2025-11-17T20:04:23Z</dcterms:modified>
</cp:coreProperties>
</file>